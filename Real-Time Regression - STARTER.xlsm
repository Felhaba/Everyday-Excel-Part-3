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harbar/Downloads/Course Files/"/>
    </mc:Choice>
  </mc:AlternateContent>
  <xr:revisionPtr revIDLastSave="0" documentId="13_ncr:1_{53394B14-E233-204F-96CC-B434E33ED677}" xr6:coauthVersionLast="47" xr6:coauthVersionMax="47" xr10:uidLastSave="{00000000-0000-0000-0000-000000000000}"/>
  <bookViews>
    <workbookView xWindow="0" yWindow="460" windowWidth="21720" windowHeight="21940" xr2:uid="{92503F77-4EF9-43FE-84EA-261630EEFA20}"/>
  </bookViews>
  <sheets>
    <sheet name="Dashboard" sheetId="1" r:id="rId1"/>
    <sheet name="Calculations" sheetId="2" r:id="rId2"/>
    <sheet name="Original Data" sheetId="4" r:id="rId3"/>
  </sheets>
  <definedNames>
    <definedName name="Beta">Calculations!$G$39:$G$43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Dashboard!$B$7</definedName>
    <definedName name="solver_typ" localSheetId="0" hidden="1">1</definedName>
    <definedName name="solver_val" localSheetId="0" hidden="1">0</definedName>
    <definedName name="solver_ver" localSheetId="0" hidden="1">3</definedName>
    <definedName name="SSE">Calculations!$M$3</definedName>
    <definedName name="SST">Calculations!$M$6</definedName>
    <definedName name="X">Calculations!$A$3:$E$22</definedName>
    <definedName name="xdata">Dashboard!$A$2:$A$21</definedName>
    <definedName name="Xt">Calculations!$A$25:$T$29</definedName>
    <definedName name="ydata">Dashboard!$B$2:$B$21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 a="1"/>
  <c r="G18" i="2" s="1"/>
  <c r="A3" i="2" a="1"/>
  <c r="A3" i="2" s="1"/>
  <c r="B3" i="2" a="1"/>
  <c r="B6" i="2" s="1"/>
  <c r="C3" i="2" a="1"/>
  <c r="C9" i="2" s="1"/>
  <c r="D3" i="2" a="1"/>
  <c r="D4" i="2" s="1"/>
  <c r="E3" i="2" a="1"/>
  <c r="E7" i="2" s="1"/>
  <c r="G9" i="2" l="1"/>
  <c r="G10" i="2"/>
  <c r="G17" i="2"/>
  <c r="G16" i="2"/>
  <c r="G8" i="2"/>
  <c r="G7" i="2"/>
  <c r="G6" i="2"/>
  <c r="G15" i="2"/>
  <c r="G22" i="2"/>
  <c r="G14" i="2"/>
  <c r="G21" i="2"/>
  <c r="G13" i="2"/>
  <c r="G5" i="2"/>
  <c r="G20" i="2"/>
  <c r="G12" i="2"/>
  <c r="G4" i="2"/>
  <c r="G19" i="2"/>
  <c r="G11" i="2"/>
  <c r="G3" i="2"/>
  <c r="C20" i="2"/>
  <c r="B17" i="2"/>
  <c r="D15" i="2"/>
  <c r="C12" i="2"/>
  <c r="E10" i="2"/>
  <c r="B9" i="2"/>
  <c r="D7" i="2"/>
  <c r="A6" i="2"/>
  <c r="C4" i="2"/>
  <c r="E18" i="2"/>
  <c r="A14" i="2"/>
  <c r="D22" i="2"/>
  <c r="E21" i="2"/>
  <c r="B20" i="2"/>
  <c r="D18" i="2"/>
  <c r="A17" i="2"/>
  <c r="C15" i="2"/>
  <c r="E13" i="2"/>
  <c r="B12" i="2"/>
  <c r="D10" i="2"/>
  <c r="A9" i="2"/>
  <c r="C7" i="2"/>
  <c r="E5" i="2"/>
  <c r="B4" i="2"/>
  <c r="D21" i="2"/>
  <c r="A20" i="2"/>
  <c r="C18" i="2"/>
  <c r="E16" i="2"/>
  <c r="B15" i="2"/>
  <c r="D13" i="2"/>
  <c r="A12" i="2"/>
  <c r="C10" i="2"/>
  <c r="E8" i="2"/>
  <c r="B7" i="2"/>
  <c r="D5" i="2"/>
  <c r="A4" i="2"/>
  <c r="B22" i="2"/>
  <c r="A21" i="2"/>
  <c r="C19" i="2"/>
  <c r="E17" i="2"/>
  <c r="B16" i="2"/>
  <c r="D14" i="2"/>
  <c r="A13" i="2"/>
  <c r="C11" i="2"/>
  <c r="E9" i="2"/>
  <c r="B8" i="2"/>
  <c r="D6" i="2"/>
  <c r="A5" i="2"/>
  <c r="C3" i="2"/>
  <c r="C22" i="2"/>
  <c r="C21" i="2"/>
  <c r="E19" i="2"/>
  <c r="B18" i="2"/>
  <c r="D16" i="2"/>
  <c r="A15" i="2"/>
  <c r="C13" i="2"/>
  <c r="E11" i="2"/>
  <c r="B10" i="2"/>
  <c r="D8" i="2"/>
  <c r="A7" i="2"/>
  <c r="C5" i="2"/>
  <c r="E3" i="2"/>
  <c r="B21" i="2"/>
  <c r="D19" i="2"/>
  <c r="A18" i="2"/>
  <c r="C16" i="2"/>
  <c r="E14" i="2"/>
  <c r="B13" i="2"/>
  <c r="D11" i="2"/>
  <c r="A10" i="2"/>
  <c r="C8" i="2"/>
  <c r="E6" i="2"/>
  <c r="B5" i="2"/>
  <c r="D3" i="2"/>
  <c r="E20" i="2"/>
  <c r="B19" i="2"/>
  <c r="D17" i="2"/>
  <c r="A16" i="2"/>
  <c r="C14" i="2"/>
  <c r="E12" i="2"/>
  <c r="B11" i="2"/>
  <c r="D9" i="2"/>
  <c r="A8" i="2"/>
  <c r="C6" i="2"/>
  <c r="E4" i="2"/>
  <c r="B3" i="2"/>
  <c r="E22" i="2"/>
  <c r="A22" i="2"/>
  <c r="D20" i="2"/>
  <c r="A19" i="2"/>
  <c r="C17" i="2"/>
  <c r="E15" i="2"/>
  <c r="B14" i="2"/>
  <c r="D12" i="2"/>
  <c r="A11" i="2"/>
  <c r="M5" i="2" l="1"/>
  <c r="J18" i="2" s="1"/>
  <c r="A25" i="2" a="1"/>
  <c r="L29" i="2" s="1"/>
  <c r="J21" i="2" l="1"/>
  <c r="J3" i="2"/>
  <c r="J22" i="2"/>
  <c r="J12" i="2"/>
  <c r="J19" i="2"/>
  <c r="J16" i="2"/>
  <c r="J17" i="2"/>
  <c r="J9" i="2"/>
  <c r="J15" i="2"/>
  <c r="J20" i="2"/>
  <c r="J13" i="2"/>
  <c r="J11" i="2"/>
  <c r="J5" i="2"/>
  <c r="J4" i="2"/>
  <c r="J10" i="2"/>
  <c r="J7" i="2"/>
  <c r="J14" i="2"/>
  <c r="J6" i="2"/>
  <c r="J8" i="2"/>
  <c r="R25" i="2"/>
  <c r="K27" i="2"/>
  <c r="F27" i="2"/>
  <c r="I26" i="2"/>
  <c r="B26" i="2"/>
  <c r="D28" i="2"/>
  <c r="C27" i="2"/>
  <c r="H25" i="2"/>
  <c r="F26" i="2"/>
  <c r="E28" i="2"/>
  <c r="M29" i="2"/>
  <c r="A27" i="2"/>
  <c r="Q26" i="2"/>
  <c r="C25" i="2"/>
  <c r="A28" i="2"/>
  <c r="C28" i="2"/>
  <c r="N26" i="2"/>
  <c r="N25" i="2"/>
  <c r="M28" i="2"/>
  <c r="A29" i="2"/>
  <c r="G28" i="2"/>
  <c r="S26" i="2"/>
  <c r="Q25" i="2"/>
  <c r="G25" i="2"/>
  <c r="S27" i="2"/>
  <c r="B28" i="2"/>
  <c r="N28" i="2"/>
  <c r="L25" i="2"/>
  <c r="H28" i="2"/>
  <c r="S25" i="2"/>
  <c r="M26" i="2"/>
  <c r="R27" i="2"/>
  <c r="D29" i="2"/>
  <c r="D25" i="2"/>
  <c r="H26" i="2"/>
  <c r="A26" i="2"/>
  <c r="T25" i="2"/>
  <c r="K29" i="2"/>
  <c r="A25" i="2"/>
  <c r="G32" i="2" s="1" a="1"/>
  <c r="I29" i="2"/>
  <c r="R26" i="2"/>
  <c r="G27" i="2"/>
  <c r="C26" i="2"/>
  <c r="F28" i="2"/>
  <c r="T27" i="2"/>
  <c r="L26" i="2"/>
  <c r="P25" i="2"/>
  <c r="P27" i="2"/>
  <c r="H27" i="2"/>
  <c r="I25" i="2"/>
  <c r="M27" i="2"/>
  <c r="O27" i="2"/>
  <c r="K25" i="2"/>
  <c r="N27" i="2"/>
  <c r="J29" i="2"/>
  <c r="P29" i="2"/>
  <c r="O29" i="2"/>
  <c r="R29" i="2"/>
  <c r="O28" i="2"/>
  <c r="J25" i="2"/>
  <c r="K26" i="2"/>
  <c r="B27" i="2"/>
  <c r="S29" i="2"/>
  <c r="L27" i="2"/>
  <c r="B25" i="2"/>
  <c r="J27" i="2"/>
  <c r="K28" i="2"/>
  <c r="E25" i="2"/>
  <c r="O25" i="2"/>
  <c r="F29" i="2"/>
  <c r="T26" i="2"/>
  <c r="T28" i="2"/>
  <c r="O26" i="2"/>
  <c r="C29" i="2"/>
  <c r="B29" i="2"/>
  <c r="D26" i="2"/>
  <c r="J26" i="2"/>
  <c r="G26" i="2"/>
  <c r="S28" i="2"/>
  <c r="J28" i="2"/>
  <c r="P26" i="2"/>
  <c r="M25" i="2"/>
  <c r="R28" i="2"/>
  <c r="L28" i="2"/>
  <c r="T29" i="2"/>
  <c r="P28" i="2"/>
  <c r="E27" i="2"/>
  <c r="N29" i="2"/>
  <c r="G29" i="2"/>
  <c r="I27" i="2"/>
  <c r="Q28" i="2"/>
  <c r="Q29" i="2"/>
  <c r="I28" i="2"/>
  <c r="E29" i="2"/>
  <c r="F25" i="2"/>
  <c r="D27" i="2"/>
  <c r="E26" i="2"/>
  <c r="H29" i="2"/>
  <c r="Q27" i="2"/>
  <c r="A32" i="2" l="1" a="1"/>
  <c r="A35" i="2" s="1"/>
  <c r="G32" i="2"/>
  <c r="G36" i="2"/>
  <c r="G35" i="2"/>
  <c r="G34" i="2"/>
  <c r="G33" i="2"/>
  <c r="B34" i="2" l="1"/>
  <c r="E34" i="2"/>
  <c r="A32" i="2"/>
  <c r="D35" i="2"/>
  <c r="B36" i="2"/>
  <c r="C34" i="2"/>
  <c r="B32" i="2"/>
  <c r="C33" i="2"/>
  <c r="B33" i="2"/>
  <c r="D32" i="2"/>
  <c r="A34" i="2"/>
  <c r="C32" i="2"/>
  <c r="A36" i="2"/>
  <c r="A33" i="2"/>
  <c r="C36" i="2"/>
  <c r="D34" i="2"/>
  <c r="E36" i="2"/>
  <c r="D36" i="2"/>
  <c r="C35" i="2"/>
  <c r="E33" i="2"/>
  <c r="D33" i="2"/>
  <c r="B35" i="2"/>
  <c r="E35" i="2"/>
  <c r="E32" i="2"/>
  <c r="A39" i="2" l="1" a="1"/>
  <c r="A43" i="2" s="1"/>
  <c r="D42" i="2" l="1"/>
  <c r="C42" i="2"/>
  <c r="B41" i="2"/>
  <c r="A42" i="2"/>
  <c r="A39" i="2"/>
  <c r="C40" i="2"/>
  <c r="E39" i="2"/>
  <c r="A41" i="2"/>
  <c r="D39" i="2"/>
  <c r="D41" i="2"/>
  <c r="B43" i="2"/>
  <c r="D40" i="2"/>
  <c r="D43" i="2"/>
  <c r="C39" i="2"/>
  <c r="E42" i="2"/>
  <c r="C41" i="2"/>
  <c r="E41" i="2"/>
  <c r="B42" i="2"/>
  <c r="B39" i="2"/>
  <c r="A40" i="2"/>
  <c r="E40" i="2"/>
  <c r="E43" i="2"/>
  <c r="B40" i="2"/>
  <c r="C43" i="2"/>
  <c r="H3" i="2" l="1" a="1"/>
  <c r="H3" i="2" s="1"/>
  <c r="G39" i="2" a="1"/>
  <c r="G40" i="2" s="1"/>
  <c r="I3" i="2" l="1"/>
  <c r="H15" i="2"/>
  <c r="H4" i="2"/>
  <c r="H18" i="2"/>
  <c r="H22" i="2"/>
  <c r="H5" i="2"/>
  <c r="H6" i="2"/>
  <c r="H16" i="2"/>
  <c r="H12" i="2"/>
  <c r="H20" i="2"/>
  <c r="H8" i="2"/>
  <c r="H9" i="2"/>
  <c r="H7" i="2"/>
  <c r="H13" i="2"/>
  <c r="H14" i="2"/>
  <c r="H19" i="2"/>
  <c r="H21" i="2"/>
  <c r="H10" i="2"/>
  <c r="H11" i="2"/>
  <c r="H17" i="2"/>
  <c r="G43" i="2"/>
  <c r="G42" i="2"/>
  <c r="G41" i="2"/>
  <c r="G39" i="2"/>
  <c r="M6" i="2" l="1" a="1"/>
  <c r="M6" i="2" s="1"/>
  <c r="I21" i="2"/>
  <c r="I12" i="2"/>
  <c r="I17" i="2"/>
  <c r="I19" i="2"/>
  <c r="I16" i="2"/>
  <c r="I14" i="2"/>
  <c r="I6" i="2"/>
  <c r="I13" i="2"/>
  <c r="I5" i="2"/>
  <c r="I7" i="2"/>
  <c r="I22" i="2"/>
  <c r="I9" i="2"/>
  <c r="I18" i="2"/>
  <c r="I11" i="2"/>
  <c r="I8" i="2"/>
  <c r="I4" i="2"/>
  <c r="I10" i="2"/>
  <c r="I20" i="2"/>
  <c r="I15" i="2"/>
  <c r="E5" i="1" a="1"/>
  <c r="E8" i="1" s="1"/>
  <c r="M3" i="2" l="1" a="1"/>
  <c r="M3" i="2" s="1"/>
  <c r="E5" i="1"/>
  <c r="E6" i="1"/>
  <c r="E7" i="1"/>
  <c r="E9" i="1"/>
  <c r="H5" i="1" l="1"/>
  <c r="H6" i="1"/>
</calcChain>
</file>

<file path=xl/sharedStrings.xml><?xml version="1.0" encoding="utf-8"?>
<sst xmlns="http://schemas.openxmlformats.org/spreadsheetml/2006/main" count="26" uniqueCount="23">
  <si>
    <t>x</t>
  </si>
  <si>
    <t>y</t>
  </si>
  <si>
    <t>Order:</t>
  </si>
  <si>
    <t>X</t>
  </si>
  <si>
    <t>XtX</t>
  </si>
  <si>
    <t>Xt</t>
  </si>
  <si>
    <t>XtXinv</t>
  </si>
  <si>
    <t>Xty</t>
  </si>
  <si>
    <t>Beta</t>
  </si>
  <si>
    <t>Beta0</t>
  </si>
  <si>
    <t>Beta1</t>
  </si>
  <si>
    <t>Beta2</t>
  </si>
  <si>
    <t>Beta3</t>
  </si>
  <si>
    <t>Beta4</t>
  </si>
  <si>
    <t>Model Coefficients</t>
  </si>
  <si>
    <t>Standard Error: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</si>
  <si>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-Adj:</t>
    </r>
  </si>
  <si>
    <t>ypred</t>
  </si>
  <si>
    <t>res</t>
  </si>
  <si>
    <t>ybar</t>
  </si>
  <si>
    <t>y-ybar</t>
  </si>
  <si>
    <t>SST</t>
  </si>
  <si>
    <t>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</si>
</sst>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0.000000"/>
    <numFmt numFmtId="168" formatCode="0.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" fontId="0" fillId="0" borderId="3" xfId="0" applyNumberFormat="1" applyBorder="1"/>
    <xf numFmtId="2" fontId="0" fillId="0" borderId="5" xfId="0" applyNumberFormat="1" applyBorder="1"/>
    <xf numFmtId="2" fontId="0" fillId="0" borderId="8" xfId="0" applyNumberFormat="1" applyBorder="1"/>
    <xf numFmtId="0" fontId="0" fillId="0" borderId="12" xfId="0" applyBorder="1"/>
    <xf numFmtId="0" fontId="0" fillId="0" borderId="13" xfId="0" applyBorder="1"/>
    <xf numFmtId="0" fontId="1" fillId="0" borderId="0" xfId="0" applyFont="1"/>
    <xf numFmtId="0" fontId="0" fillId="0" borderId="6" xfId="0" applyBorder="1" applyAlignment="1">
      <alignment horizontal="right"/>
    </xf>
    <xf numFmtId="0" fontId="0" fillId="0" borderId="9" xfId="0" quotePrefix="1" applyBorder="1"/>
    <xf numFmtId="168" fontId="0" fillId="0" borderId="3" xfId="0" applyNumberFormat="1" applyBorder="1"/>
    <xf numFmtId="167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</xdr:colOff>
          <xdr:row>10</xdr:row>
          <xdr:rowOff>101600</xdr:rowOff>
        </xdr:from>
        <xdr:to>
          <xdr:col>4</xdr:col>
          <xdr:colOff>571500</xdr:colOff>
          <xdr:row>13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14</xdr:row>
          <xdr:rowOff>165100</xdr:rowOff>
        </xdr:from>
        <xdr:to>
          <xdr:col>4</xdr:col>
          <xdr:colOff>596900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819F-B48A-4F9B-9593-48B24B277745}">
  <sheetPr codeName="Sheet1"/>
  <dimension ref="A1:H21"/>
  <sheetViews>
    <sheetView tabSelected="1" workbookViewId="0">
      <selection activeCell="I12" sqref="I12"/>
    </sheetView>
  </sheetViews>
  <sheetFormatPr baseColWidth="10" defaultColWidth="8.83203125" defaultRowHeight="15" x14ac:dyDescent="0.2"/>
  <cols>
    <col min="7" max="7" width="12.83203125" bestFit="1" customWidth="1"/>
    <col min="8" max="8" width="14.1640625" bestFit="1" customWidth="1"/>
  </cols>
  <sheetData>
    <row r="1" spans="1:8" x14ac:dyDescent="0.2">
      <c r="A1" t="s">
        <v>0</v>
      </c>
      <c r="B1" t="s">
        <v>1</v>
      </c>
    </row>
    <row r="2" spans="1:8" x14ac:dyDescent="0.2">
      <c r="A2" s="1">
        <v>1</v>
      </c>
      <c r="B2" s="3">
        <v>5</v>
      </c>
      <c r="D2" s="16" t="s">
        <v>2</v>
      </c>
      <c r="E2" s="17">
        <v>1</v>
      </c>
    </row>
    <row r="3" spans="1:8" x14ac:dyDescent="0.2">
      <c r="A3" s="4">
        <v>2</v>
      </c>
      <c r="B3" s="6">
        <v>6</v>
      </c>
    </row>
    <row r="4" spans="1:8" x14ac:dyDescent="0.2">
      <c r="A4" s="4">
        <v>3</v>
      </c>
      <c r="B4" s="6">
        <v>10</v>
      </c>
      <c r="D4" s="18" t="s">
        <v>14</v>
      </c>
    </row>
    <row r="5" spans="1:8" x14ac:dyDescent="0.2">
      <c r="A5" s="4">
        <v>4</v>
      </c>
      <c r="B5" s="6">
        <v>20</v>
      </c>
      <c r="D5" s="1" t="s">
        <v>9</v>
      </c>
      <c r="E5" s="13">
        <f t="array" aca="1" ref="E5:E9" ca="1">_xlfn.IFNA(Beta, "N/A")</f>
        <v>-1.1388888888888857</v>
      </c>
      <c r="G5" s="1" t="s">
        <v>15</v>
      </c>
      <c r="H5" s="21">
        <f ca="1">SQRT(SSE/(COUNTA(xdata)-Dashboard!E2-1))</f>
        <v>3.1968486466896224</v>
      </c>
    </row>
    <row r="6" spans="1:8" ht="17" x14ac:dyDescent="0.2">
      <c r="A6" s="4">
        <v>5</v>
      </c>
      <c r="B6" s="6">
        <v>28</v>
      </c>
      <c r="D6" s="4" t="s">
        <v>10</v>
      </c>
      <c r="E6" s="14">
        <f ca="1"/>
        <v>4.9833333333333343</v>
      </c>
      <c r="G6" s="19" t="s">
        <v>16</v>
      </c>
      <c r="H6" s="22">
        <f ca="1">1-(SSE/(COUNTA(xdata)-Dashboard!E2-1))/(SST/(COUNTA(xdata)-1))</f>
        <v>0.94764276565898875</v>
      </c>
    </row>
    <row r="7" spans="1:8" x14ac:dyDescent="0.2">
      <c r="A7" s="4">
        <v>6</v>
      </c>
      <c r="B7" s="6">
        <v>33</v>
      </c>
      <c r="D7" s="4" t="s">
        <v>11</v>
      </c>
      <c r="E7" s="14" t="str">
        <f ca="1"/>
        <v>N/A</v>
      </c>
    </row>
    <row r="8" spans="1:8" x14ac:dyDescent="0.2">
      <c r="A8" s="4">
        <v>7</v>
      </c>
      <c r="B8" s="6">
        <v>34</v>
      </c>
      <c r="D8" s="4" t="s">
        <v>12</v>
      </c>
      <c r="E8" s="14" t="str">
        <f ca="1"/>
        <v>N/A</v>
      </c>
    </row>
    <row r="9" spans="1:8" x14ac:dyDescent="0.2">
      <c r="A9" s="4">
        <v>8</v>
      </c>
      <c r="B9" s="6">
        <v>36</v>
      </c>
      <c r="D9" s="7" t="s">
        <v>13</v>
      </c>
      <c r="E9" s="15" t="str">
        <f ca="1"/>
        <v>N/A</v>
      </c>
    </row>
    <row r="10" spans="1:8" x14ac:dyDescent="0.2">
      <c r="A10" s="4">
        <v>9</v>
      </c>
      <c r="B10" s="6">
        <v>42</v>
      </c>
    </row>
    <row r="11" spans="1:8" x14ac:dyDescent="0.2">
      <c r="A11" s="4"/>
      <c r="B11" s="6"/>
    </row>
    <row r="12" spans="1:8" x14ac:dyDescent="0.2">
      <c r="A12" s="4"/>
      <c r="B12" s="6"/>
    </row>
    <row r="13" spans="1:8" x14ac:dyDescent="0.2">
      <c r="A13" s="4"/>
      <c r="B13" s="6"/>
    </row>
    <row r="14" spans="1:8" x14ac:dyDescent="0.2">
      <c r="A14" s="4"/>
      <c r="B14" s="6"/>
    </row>
    <row r="15" spans="1:8" x14ac:dyDescent="0.2">
      <c r="A15" s="4"/>
      <c r="B15" s="6"/>
    </row>
    <row r="16" spans="1:8" x14ac:dyDescent="0.2">
      <c r="A16" s="4"/>
      <c r="B16" s="6"/>
    </row>
    <row r="17" spans="1:2" x14ac:dyDescent="0.2">
      <c r="A17" s="4"/>
      <c r="B17" s="6"/>
    </row>
    <row r="18" spans="1:2" x14ac:dyDescent="0.2">
      <c r="A18" s="4"/>
      <c r="B18" s="6"/>
    </row>
    <row r="19" spans="1:2" x14ac:dyDescent="0.2">
      <c r="A19" s="4"/>
      <c r="B19" s="6"/>
    </row>
    <row r="20" spans="1:2" x14ac:dyDescent="0.2">
      <c r="A20" s="4"/>
      <c r="B20" s="6"/>
    </row>
    <row r="21" spans="1:2" x14ac:dyDescent="0.2">
      <c r="A21" s="7"/>
      <c r="B21" s="9"/>
    </row>
  </sheetData>
  <dataValidations count="1">
    <dataValidation type="list" allowBlank="1" showInputMessage="1" showErrorMessage="1" sqref="E2" xr:uid="{C5531AEE-91C5-4BB0-82DD-F950BD82665C}">
      <formula1>"1,2,3,4"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rade">
                <anchor moveWithCells="1" sizeWithCells="1">
                  <from>
                    <xdr:col>3</xdr:col>
                    <xdr:colOff>127000</xdr:colOff>
                    <xdr:row>10</xdr:row>
                    <xdr:rowOff>101600</xdr:rowOff>
                  </from>
                  <to>
                    <xdr:col>4</xdr:col>
                    <xdr:colOff>571500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Reset">
                <anchor moveWithCells="1" sizeWithCells="1">
                  <from>
                    <xdr:col>3</xdr:col>
                    <xdr:colOff>152400</xdr:colOff>
                    <xdr:row>14</xdr:row>
                    <xdr:rowOff>165100</xdr:rowOff>
                  </from>
                  <to>
                    <xdr:col>4</xdr:col>
                    <xdr:colOff>596900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5ECA-FDC3-4BAB-8721-CE660D8E6435}">
  <sheetPr codeName="Sheet2"/>
  <dimension ref="A2:T43"/>
  <sheetViews>
    <sheetView workbookViewId="0">
      <selection activeCell="M16" sqref="M16"/>
    </sheetView>
  </sheetViews>
  <sheetFormatPr baseColWidth="10" defaultColWidth="8.83203125" defaultRowHeight="15" x14ac:dyDescent="0.2"/>
  <cols>
    <col min="1" max="3" width="9" bestFit="1" customWidth="1"/>
    <col min="4" max="4" width="9.1640625" bestFit="1" customWidth="1"/>
    <col min="5" max="5" width="10.1640625" bestFit="1" customWidth="1"/>
    <col min="13" max="13" width="11.83203125" bestFit="1" customWidth="1"/>
  </cols>
  <sheetData>
    <row r="2" spans="1:13" x14ac:dyDescent="0.2">
      <c r="A2" t="s">
        <v>3</v>
      </c>
      <c r="B2">
        <v>1</v>
      </c>
      <c r="C2">
        <v>2</v>
      </c>
      <c r="D2">
        <v>3</v>
      </c>
      <c r="E2">
        <v>4</v>
      </c>
      <c r="G2" t="s">
        <v>1</v>
      </c>
      <c r="H2" t="s">
        <v>17</v>
      </c>
      <c r="I2" t="s">
        <v>18</v>
      </c>
      <c r="J2" t="s">
        <v>20</v>
      </c>
    </row>
    <row r="3" spans="1:13" x14ac:dyDescent="0.2">
      <c r="A3" s="1">
        <f t="array" ref="A3:A22">IF(xdata = "", "", 1)</f>
        <v>1</v>
      </c>
      <c r="B3" s="2">
        <f t="array" ref="B3:B22">IF(xdata="", "", xdata)</f>
        <v>1</v>
      </c>
      <c r="C3" s="2">
        <f t="array" ref="C3:C22">IF(xdata="", "", xdata^C2)</f>
        <v>1</v>
      </c>
      <c r="D3" s="2">
        <f t="array" ref="D3:D22">IF(xdata="", "", xdata^D2)</f>
        <v>1</v>
      </c>
      <c r="E3" s="3">
        <f t="array" ref="E3:E22">IF(xdata="", "", xdata^E2)</f>
        <v>1</v>
      </c>
      <c r="G3" s="10">
        <f t="array" ref="G3:G22">IF(ydata="", "", ydata)</f>
        <v>5</v>
      </c>
      <c r="H3" s="20">
        <f t="array" aca="1" ref="H3:H22" ca="1">MMULT(OFFSET(Calculations!A3,0,0,COUNTA(xdata),Dashboard!E2+1), MMULT(OFFSET(A39, 0, 0, Dashboard!E2+1, Dashboard!E2+1), OFFSET(Calculations!G32, 0, 0, Dashboard!E2+1, 1)))</f>
        <v>3.8444444444444485</v>
      </c>
      <c r="I3" s="10">
        <f ca="1">IFERROR(G3-H3, "")</f>
        <v>1.1555555555555515</v>
      </c>
      <c r="J3" s="10">
        <f>G3-$M$5</f>
        <v>-18.777777777777779</v>
      </c>
      <c r="L3" t="s">
        <v>22</v>
      </c>
      <c r="M3">
        <f t="array" aca="1" ref="M3" ca="1">SUMSQ(OFFSET(I3,0,0,COUNTA(xdata),1))</f>
        <v>71.538888888888891</v>
      </c>
    </row>
    <row r="4" spans="1:13" x14ac:dyDescent="0.2">
      <c r="A4" s="4">
        <v>1</v>
      </c>
      <c r="B4" s="5">
        <v>2</v>
      </c>
      <c r="C4" s="5">
        <v>4</v>
      </c>
      <c r="D4" s="5">
        <v>8</v>
      </c>
      <c r="E4" s="6">
        <v>16</v>
      </c>
      <c r="G4" s="11">
        <v>6</v>
      </c>
      <c r="H4" s="11">
        <f ca="1"/>
        <v>8.8277777777777828</v>
      </c>
      <c r="I4" s="10">
        <f t="shared" ref="I4:I22" ca="1" si="0">IFERROR(G4-H4, "")</f>
        <v>-2.8277777777777828</v>
      </c>
      <c r="J4" s="10">
        <f t="shared" ref="J4:J22" si="1">G4-$M$5</f>
        <v>-17.777777777777779</v>
      </c>
    </row>
    <row r="5" spans="1:13" x14ac:dyDescent="0.2">
      <c r="A5" s="4">
        <v>1</v>
      </c>
      <c r="B5" s="5">
        <v>3</v>
      </c>
      <c r="C5" s="5">
        <v>9</v>
      </c>
      <c r="D5" s="5">
        <v>27</v>
      </c>
      <c r="E5" s="6">
        <v>81</v>
      </c>
      <c r="G5" s="11">
        <v>10</v>
      </c>
      <c r="H5" s="11">
        <f ca="1"/>
        <v>13.811111111111117</v>
      </c>
      <c r="I5" s="10">
        <f t="shared" ca="1" si="0"/>
        <v>-3.8111111111111171</v>
      </c>
      <c r="J5" s="10">
        <f t="shared" si="1"/>
        <v>-13.777777777777779</v>
      </c>
      <c r="L5" t="s">
        <v>19</v>
      </c>
      <c r="M5">
        <f>AVERAGE(G3:G22)</f>
        <v>23.777777777777779</v>
      </c>
    </row>
    <row r="6" spans="1:13" x14ac:dyDescent="0.2">
      <c r="A6" s="4">
        <v>1</v>
      </c>
      <c r="B6" s="5">
        <v>4</v>
      </c>
      <c r="C6" s="5">
        <v>16</v>
      </c>
      <c r="D6" s="5">
        <v>64</v>
      </c>
      <c r="E6" s="6">
        <v>256</v>
      </c>
      <c r="G6" s="11">
        <v>20</v>
      </c>
      <c r="H6" s="11">
        <f ca="1"/>
        <v>18.794444444444451</v>
      </c>
      <c r="I6" s="10">
        <f t="shared" ca="1" si="0"/>
        <v>1.2055555555555486</v>
      </c>
      <c r="J6" s="10">
        <f t="shared" si="1"/>
        <v>-3.7777777777777786</v>
      </c>
      <c r="L6" t="s">
        <v>21</v>
      </c>
      <c r="M6">
        <f t="array" aca="1" ref="M6" ca="1">SUMSQ(OFFSET(J3, 0, 0, COUNTA(xdata), 1))</f>
        <v>1561.5555555555554</v>
      </c>
    </row>
    <row r="7" spans="1:13" x14ac:dyDescent="0.2">
      <c r="A7" s="4">
        <v>1</v>
      </c>
      <c r="B7" s="5">
        <v>5</v>
      </c>
      <c r="C7" s="5">
        <v>25</v>
      </c>
      <c r="D7" s="5">
        <v>125</v>
      </c>
      <c r="E7" s="6">
        <v>625</v>
      </c>
      <c r="G7" s="11">
        <v>28</v>
      </c>
      <c r="H7" s="11">
        <f ca="1"/>
        <v>23.777777777777786</v>
      </c>
      <c r="I7" s="10">
        <f t="shared" ca="1" si="0"/>
        <v>4.2222222222222143</v>
      </c>
      <c r="J7" s="10">
        <f t="shared" si="1"/>
        <v>4.2222222222222214</v>
      </c>
    </row>
    <row r="8" spans="1:13" x14ac:dyDescent="0.2">
      <c r="A8" s="4">
        <v>1</v>
      </c>
      <c r="B8" s="5">
        <v>6</v>
      </c>
      <c r="C8" s="5">
        <v>36</v>
      </c>
      <c r="D8" s="5">
        <v>216</v>
      </c>
      <c r="E8" s="6">
        <v>1296</v>
      </c>
      <c r="G8" s="11">
        <v>33</v>
      </c>
      <c r="H8" s="11">
        <f ca="1"/>
        <v>28.76111111111112</v>
      </c>
      <c r="I8" s="10">
        <f t="shared" ca="1" si="0"/>
        <v>4.23888888888888</v>
      </c>
      <c r="J8" s="10">
        <f t="shared" si="1"/>
        <v>9.2222222222222214</v>
      </c>
    </row>
    <row r="9" spans="1:13" x14ac:dyDescent="0.2">
      <c r="A9" s="4">
        <v>1</v>
      </c>
      <c r="B9" s="5">
        <v>7</v>
      </c>
      <c r="C9" s="5">
        <v>49</v>
      </c>
      <c r="D9" s="5">
        <v>343</v>
      </c>
      <c r="E9" s="6">
        <v>2401</v>
      </c>
      <c r="G9" s="11">
        <v>34</v>
      </c>
      <c r="H9" s="11">
        <f ca="1"/>
        <v>33.744444444444454</v>
      </c>
      <c r="I9" s="10">
        <f t="shared" ca="1" si="0"/>
        <v>0.25555555555554577</v>
      </c>
      <c r="J9" s="10">
        <f t="shared" si="1"/>
        <v>10.222222222222221</v>
      </c>
    </row>
    <row r="10" spans="1:13" x14ac:dyDescent="0.2">
      <c r="A10" s="4">
        <v>1</v>
      </c>
      <c r="B10" s="5">
        <v>8</v>
      </c>
      <c r="C10" s="5">
        <v>64</v>
      </c>
      <c r="D10" s="5">
        <v>512</v>
      </c>
      <c r="E10" s="6">
        <v>4096</v>
      </c>
      <c r="G10" s="11">
        <v>36</v>
      </c>
      <c r="H10" s="11">
        <f ca="1"/>
        <v>38.727777777777789</v>
      </c>
      <c r="I10" s="10">
        <f t="shared" ca="1" si="0"/>
        <v>-2.7277777777777885</v>
      </c>
      <c r="J10" s="10">
        <f t="shared" si="1"/>
        <v>12.222222222222221</v>
      </c>
    </row>
    <row r="11" spans="1:13" x14ac:dyDescent="0.2">
      <c r="A11" s="4">
        <v>1</v>
      </c>
      <c r="B11" s="5">
        <v>9</v>
      </c>
      <c r="C11" s="5">
        <v>81</v>
      </c>
      <c r="D11" s="5">
        <v>729</v>
      </c>
      <c r="E11" s="6">
        <v>6561</v>
      </c>
      <c r="G11" s="11">
        <v>42</v>
      </c>
      <c r="H11" s="11">
        <f ca="1"/>
        <v>43.711111111111123</v>
      </c>
      <c r="I11" s="10">
        <f t="shared" ca="1" si="0"/>
        <v>-1.7111111111111228</v>
      </c>
      <c r="J11" s="10">
        <f t="shared" si="1"/>
        <v>18.222222222222221</v>
      </c>
    </row>
    <row r="12" spans="1:13" x14ac:dyDescent="0.2">
      <c r="A12" s="4" t="str">
        <v/>
      </c>
      <c r="B12" s="5" t="str">
        <v/>
      </c>
      <c r="C12" s="5" t="str">
        <v/>
      </c>
      <c r="D12" s="5" t="str">
        <v/>
      </c>
      <c r="E12" s="6" t="str">
        <v/>
      </c>
      <c r="G12" s="11" t="str">
        <v/>
      </c>
      <c r="H12" s="11" t="e">
        <f ca="1"/>
        <v>#N/A</v>
      </c>
      <c r="I12" s="10" t="str">
        <f t="shared" ca="1" si="0"/>
        <v/>
      </c>
      <c r="J12" s="10" t="e">
        <f t="shared" si="1"/>
        <v>#VALUE!</v>
      </c>
    </row>
    <row r="13" spans="1:13" x14ac:dyDescent="0.2">
      <c r="A13" s="4" t="str">
        <v/>
      </c>
      <c r="B13" s="5" t="str">
        <v/>
      </c>
      <c r="C13" s="5" t="str">
        <v/>
      </c>
      <c r="D13" s="5" t="str">
        <v/>
      </c>
      <c r="E13" s="6" t="str">
        <v/>
      </c>
      <c r="G13" s="11" t="str">
        <v/>
      </c>
      <c r="H13" s="11" t="e">
        <f ca="1"/>
        <v>#N/A</v>
      </c>
      <c r="I13" s="10" t="str">
        <f t="shared" ca="1" si="0"/>
        <v/>
      </c>
      <c r="J13" s="10" t="e">
        <f t="shared" si="1"/>
        <v>#VALUE!</v>
      </c>
    </row>
    <row r="14" spans="1:13" x14ac:dyDescent="0.2">
      <c r="A14" s="4" t="str">
        <v/>
      </c>
      <c r="B14" s="5" t="str">
        <v/>
      </c>
      <c r="C14" s="5" t="str">
        <v/>
      </c>
      <c r="D14" s="5" t="str">
        <v/>
      </c>
      <c r="E14" s="6" t="str">
        <v/>
      </c>
      <c r="G14" s="11" t="str">
        <v/>
      </c>
      <c r="H14" s="11" t="e">
        <f ca="1"/>
        <v>#N/A</v>
      </c>
      <c r="I14" s="10" t="str">
        <f t="shared" ca="1" si="0"/>
        <v/>
      </c>
      <c r="J14" s="10" t="e">
        <f t="shared" si="1"/>
        <v>#VALUE!</v>
      </c>
    </row>
    <row r="15" spans="1:13" x14ac:dyDescent="0.2">
      <c r="A15" s="4" t="str">
        <v/>
      </c>
      <c r="B15" s="5" t="str">
        <v/>
      </c>
      <c r="C15" s="5" t="str">
        <v/>
      </c>
      <c r="D15" s="5" t="str">
        <v/>
      </c>
      <c r="E15" s="6" t="str">
        <v/>
      </c>
      <c r="G15" s="11" t="str">
        <v/>
      </c>
      <c r="H15" s="11" t="e">
        <f ca="1"/>
        <v>#N/A</v>
      </c>
      <c r="I15" s="10" t="str">
        <f t="shared" ca="1" si="0"/>
        <v/>
      </c>
      <c r="J15" s="10" t="e">
        <f t="shared" si="1"/>
        <v>#VALUE!</v>
      </c>
    </row>
    <row r="16" spans="1:13" x14ac:dyDescent="0.2">
      <c r="A16" s="4" t="str">
        <v/>
      </c>
      <c r="B16" s="5" t="str">
        <v/>
      </c>
      <c r="C16" s="5" t="str">
        <v/>
      </c>
      <c r="D16" s="5" t="str">
        <v/>
      </c>
      <c r="E16" s="6" t="str">
        <v/>
      </c>
      <c r="G16" s="11" t="str">
        <v/>
      </c>
      <c r="H16" s="11" t="e">
        <f ca="1"/>
        <v>#N/A</v>
      </c>
      <c r="I16" s="10" t="str">
        <f t="shared" ca="1" si="0"/>
        <v/>
      </c>
      <c r="J16" s="10" t="e">
        <f t="shared" si="1"/>
        <v>#VALUE!</v>
      </c>
    </row>
    <row r="17" spans="1:20" x14ac:dyDescent="0.2">
      <c r="A17" s="4" t="str">
        <v/>
      </c>
      <c r="B17" s="5" t="str">
        <v/>
      </c>
      <c r="C17" s="5" t="str">
        <v/>
      </c>
      <c r="D17" s="5" t="str">
        <v/>
      </c>
      <c r="E17" s="6" t="str">
        <v/>
      </c>
      <c r="G17" s="11" t="str">
        <v/>
      </c>
      <c r="H17" s="11" t="e">
        <f ca="1"/>
        <v>#N/A</v>
      </c>
      <c r="I17" s="10" t="str">
        <f t="shared" ca="1" si="0"/>
        <v/>
      </c>
      <c r="J17" s="10" t="e">
        <f t="shared" si="1"/>
        <v>#VALUE!</v>
      </c>
    </row>
    <row r="18" spans="1:20" x14ac:dyDescent="0.2">
      <c r="A18" s="4" t="str">
        <v/>
      </c>
      <c r="B18" s="5" t="str">
        <v/>
      </c>
      <c r="C18" s="5" t="str">
        <v/>
      </c>
      <c r="D18" s="5" t="str">
        <v/>
      </c>
      <c r="E18" s="6" t="str">
        <v/>
      </c>
      <c r="G18" s="11" t="str">
        <v/>
      </c>
      <c r="H18" s="11" t="e">
        <f ca="1"/>
        <v>#N/A</v>
      </c>
      <c r="I18" s="10" t="str">
        <f t="shared" ca="1" si="0"/>
        <v/>
      </c>
      <c r="J18" s="10" t="e">
        <f t="shared" si="1"/>
        <v>#VALUE!</v>
      </c>
    </row>
    <row r="19" spans="1:20" x14ac:dyDescent="0.2">
      <c r="A19" s="4" t="str">
        <v/>
      </c>
      <c r="B19" s="5" t="str">
        <v/>
      </c>
      <c r="C19" s="5" t="str">
        <v/>
      </c>
      <c r="D19" s="5" t="str">
        <v/>
      </c>
      <c r="E19" s="6" t="str">
        <v/>
      </c>
      <c r="G19" s="11" t="str">
        <v/>
      </c>
      <c r="H19" s="11" t="e">
        <f ca="1"/>
        <v>#N/A</v>
      </c>
      <c r="I19" s="10" t="str">
        <f t="shared" ca="1" si="0"/>
        <v/>
      </c>
      <c r="J19" s="10" t="e">
        <f t="shared" si="1"/>
        <v>#VALUE!</v>
      </c>
    </row>
    <row r="20" spans="1:20" x14ac:dyDescent="0.2">
      <c r="A20" s="4" t="str">
        <v/>
      </c>
      <c r="B20" s="5" t="str">
        <v/>
      </c>
      <c r="C20" s="5" t="str">
        <v/>
      </c>
      <c r="D20" s="5" t="str">
        <v/>
      </c>
      <c r="E20" s="6" t="str">
        <v/>
      </c>
      <c r="G20" s="11" t="str">
        <v/>
      </c>
      <c r="H20" s="11" t="e">
        <f ca="1"/>
        <v>#N/A</v>
      </c>
      <c r="I20" s="10" t="str">
        <f t="shared" ca="1" si="0"/>
        <v/>
      </c>
      <c r="J20" s="10" t="e">
        <f t="shared" si="1"/>
        <v>#VALUE!</v>
      </c>
    </row>
    <row r="21" spans="1:20" x14ac:dyDescent="0.2">
      <c r="A21" s="4" t="str">
        <v/>
      </c>
      <c r="B21" s="5" t="str">
        <v/>
      </c>
      <c r="C21" s="5" t="str">
        <v/>
      </c>
      <c r="D21" s="5" t="str">
        <v/>
      </c>
      <c r="E21" s="6" t="str">
        <v/>
      </c>
      <c r="G21" s="11" t="str">
        <v/>
      </c>
      <c r="H21" s="11" t="e">
        <f ca="1"/>
        <v>#N/A</v>
      </c>
      <c r="I21" s="10" t="str">
        <f t="shared" ca="1" si="0"/>
        <v/>
      </c>
      <c r="J21" s="10" t="e">
        <f t="shared" si="1"/>
        <v>#VALUE!</v>
      </c>
    </row>
    <row r="22" spans="1:20" x14ac:dyDescent="0.2">
      <c r="A22" s="7" t="str">
        <v/>
      </c>
      <c r="B22" s="8" t="str">
        <v/>
      </c>
      <c r="C22" s="8" t="str">
        <v/>
      </c>
      <c r="D22" s="8" t="str">
        <v/>
      </c>
      <c r="E22" s="9" t="str">
        <v/>
      </c>
      <c r="G22" s="12" t="str">
        <v/>
      </c>
      <c r="H22" s="12" t="e">
        <f ca="1"/>
        <v>#N/A</v>
      </c>
      <c r="I22" s="10" t="str">
        <f t="shared" ca="1" si="0"/>
        <v/>
      </c>
      <c r="J22" s="10" t="e">
        <f t="shared" si="1"/>
        <v>#VALUE!</v>
      </c>
    </row>
    <row r="24" spans="1:20" x14ac:dyDescent="0.2">
      <c r="A24" t="s">
        <v>5</v>
      </c>
    </row>
    <row r="25" spans="1:20" x14ac:dyDescent="0.2">
      <c r="A25" s="1">
        <f t="array" ref="A25:T29">TRANSPOSE(X)</f>
        <v>1</v>
      </c>
      <c r="B25" s="2">
        <v>1</v>
      </c>
      <c r="C25" s="2">
        <v>1</v>
      </c>
      <c r="D25" s="2">
        <v>1</v>
      </c>
      <c r="E25" s="2">
        <v>1</v>
      </c>
      <c r="F25" s="2">
        <v>1</v>
      </c>
      <c r="G25" s="2">
        <v>1</v>
      </c>
      <c r="H25" s="2">
        <v>1</v>
      </c>
      <c r="I25" s="2">
        <v>1</v>
      </c>
      <c r="J25" s="2" t="str">
        <v/>
      </c>
      <c r="K25" s="2" t="str">
        <v/>
      </c>
      <c r="L25" s="2" t="str">
        <v/>
      </c>
      <c r="M25" s="2" t="str">
        <v/>
      </c>
      <c r="N25" s="2" t="str">
        <v/>
      </c>
      <c r="O25" s="2" t="str">
        <v/>
      </c>
      <c r="P25" s="2" t="str">
        <v/>
      </c>
      <c r="Q25" s="2" t="str">
        <v/>
      </c>
      <c r="R25" s="2" t="str">
        <v/>
      </c>
      <c r="S25" s="2" t="str">
        <v/>
      </c>
      <c r="T25" s="3" t="str">
        <v/>
      </c>
    </row>
    <row r="26" spans="1:20" x14ac:dyDescent="0.2">
      <c r="A26" s="4">
        <v>1</v>
      </c>
      <c r="B26" s="5">
        <v>2</v>
      </c>
      <c r="C26" s="5">
        <v>3</v>
      </c>
      <c r="D26" s="5">
        <v>4</v>
      </c>
      <c r="E26" s="5">
        <v>5</v>
      </c>
      <c r="F26" s="5">
        <v>6</v>
      </c>
      <c r="G26" s="5">
        <v>7</v>
      </c>
      <c r="H26" s="5">
        <v>8</v>
      </c>
      <c r="I26" s="5">
        <v>9</v>
      </c>
      <c r="J26" s="5" t="str">
        <v/>
      </c>
      <c r="K26" s="5" t="str">
        <v/>
      </c>
      <c r="L26" s="5" t="str">
        <v/>
      </c>
      <c r="M26" s="5" t="str">
        <v/>
      </c>
      <c r="N26" s="5" t="str">
        <v/>
      </c>
      <c r="O26" s="5" t="str">
        <v/>
      </c>
      <c r="P26" s="5" t="str">
        <v/>
      </c>
      <c r="Q26" s="5" t="str">
        <v/>
      </c>
      <c r="R26" s="5" t="str">
        <v/>
      </c>
      <c r="S26" s="5" t="str">
        <v/>
      </c>
      <c r="T26" s="6" t="str">
        <v/>
      </c>
    </row>
    <row r="27" spans="1:20" x14ac:dyDescent="0.2">
      <c r="A27" s="4">
        <v>1</v>
      </c>
      <c r="B27" s="5">
        <v>4</v>
      </c>
      <c r="C27" s="5">
        <v>9</v>
      </c>
      <c r="D27" s="5">
        <v>16</v>
      </c>
      <c r="E27" s="5">
        <v>25</v>
      </c>
      <c r="F27" s="5">
        <v>36</v>
      </c>
      <c r="G27" s="5">
        <v>49</v>
      </c>
      <c r="H27" s="5">
        <v>64</v>
      </c>
      <c r="I27" s="5">
        <v>81</v>
      </c>
      <c r="J27" s="5" t="str">
        <v/>
      </c>
      <c r="K27" s="5" t="str">
        <v/>
      </c>
      <c r="L27" s="5" t="str">
        <v/>
      </c>
      <c r="M27" s="5" t="str">
        <v/>
      </c>
      <c r="N27" s="5" t="str">
        <v/>
      </c>
      <c r="O27" s="5" t="str">
        <v/>
      </c>
      <c r="P27" s="5" t="str">
        <v/>
      </c>
      <c r="Q27" s="5" t="str">
        <v/>
      </c>
      <c r="R27" s="5" t="str">
        <v/>
      </c>
      <c r="S27" s="5" t="str">
        <v/>
      </c>
      <c r="T27" s="6" t="str">
        <v/>
      </c>
    </row>
    <row r="28" spans="1:20" x14ac:dyDescent="0.2">
      <c r="A28" s="4">
        <v>1</v>
      </c>
      <c r="B28" s="5">
        <v>8</v>
      </c>
      <c r="C28" s="5">
        <v>27</v>
      </c>
      <c r="D28" s="5">
        <v>64</v>
      </c>
      <c r="E28" s="5">
        <v>125</v>
      </c>
      <c r="F28" s="5">
        <v>216</v>
      </c>
      <c r="G28" s="5">
        <v>343</v>
      </c>
      <c r="H28" s="5">
        <v>512</v>
      </c>
      <c r="I28" s="5">
        <v>729</v>
      </c>
      <c r="J28" s="5" t="str">
        <v/>
      </c>
      <c r="K28" s="5" t="str">
        <v/>
      </c>
      <c r="L28" s="5" t="str">
        <v/>
      </c>
      <c r="M28" s="5" t="str">
        <v/>
      </c>
      <c r="N28" s="5" t="str">
        <v/>
      </c>
      <c r="O28" s="5" t="str">
        <v/>
      </c>
      <c r="P28" s="5" t="str">
        <v/>
      </c>
      <c r="Q28" s="5" t="str">
        <v/>
      </c>
      <c r="R28" s="5" t="str">
        <v/>
      </c>
      <c r="S28" s="5" t="str">
        <v/>
      </c>
      <c r="T28" s="6" t="str">
        <v/>
      </c>
    </row>
    <row r="29" spans="1:20" x14ac:dyDescent="0.2">
      <c r="A29" s="7">
        <v>1</v>
      </c>
      <c r="B29" s="8">
        <v>16</v>
      </c>
      <c r="C29" s="8">
        <v>81</v>
      </c>
      <c r="D29" s="8">
        <v>256</v>
      </c>
      <c r="E29" s="8">
        <v>625</v>
      </c>
      <c r="F29" s="8">
        <v>1296</v>
      </c>
      <c r="G29" s="8">
        <v>2401</v>
      </c>
      <c r="H29" s="8">
        <v>4096</v>
      </c>
      <c r="I29" s="8">
        <v>6561</v>
      </c>
      <c r="J29" s="8" t="str">
        <v/>
      </c>
      <c r="K29" s="8" t="str">
        <v/>
      </c>
      <c r="L29" s="8" t="str">
        <v/>
      </c>
      <c r="M29" s="8" t="str">
        <v/>
      </c>
      <c r="N29" s="8" t="str">
        <v/>
      </c>
      <c r="O29" s="8" t="str">
        <v/>
      </c>
      <c r="P29" s="8" t="str">
        <v/>
      </c>
      <c r="Q29" s="8" t="str">
        <v/>
      </c>
      <c r="R29" s="8" t="str">
        <v/>
      </c>
      <c r="S29" s="8" t="str">
        <v/>
      </c>
      <c r="T29" s="9" t="str">
        <v/>
      </c>
    </row>
    <row r="31" spans="1:20" x14ac:dyDescent="0.2">
      <c r="A31" t="s">
        <v>4</v>
      </c>
      <c r="G31" t="s">
        <v>7</v>
      </c>
    </row>
    <row r="32" spans="1:20" x14ac:dyDescent="0.2">
      <c r="A32" s="1">
        <f t="array" aca="1" ref="A32:E36" ca="1">_xlfn.IFNA(MMULT(OFFSET(A25,0,0,Dashboard!E2+1,COUNTA(xdata)),OFFSET(Calculations!A3,0,0,COUNTA(xdata),Dashboard!E2+1)), "")</f>
        <v>9</v>
      </c>
      <c r="B32" s="2">
        <f ca="1"/>
        <v>45</v>
      </c>
      <c r="C32" s="2" t="e">
        <f ca="1"/>
        <v>#N/A</v>
      </c>
      <c r="D32" s="2" t="e">
        <f ca="1"/>
        <v>#N/A</v>
      </c>
      <c r="E32" s="3" t="e">
        <f ca="1"/>
        <v>#N/A</v>
      </c>
      <c r="G32" s="10">
        <f t="array" aca="1" ref="G32:G36" ca="1">MMULT(OFFSET(A25,0,0,Dashboard!E2+1,COUNTA(xdata)), OFFSET(G3, 0, 0, COUNTA(xdata), 1))</f>
        <v>214</v>
      </c>
    </row>
    <row r="33" spans="1:7" x14ac:dyDescent="0.2">
      <c r="A33" s="4">
        <f ca="1"/>
        <v>45</v>
      </c>
      <c r="B33" s="5">
        <f ca="1"/>
        <v>285</v>
      </c>
      <c r="C33" s="5" t="e">
        <f ca="1"/>
        <v>#N/A</v>
      </c>
      <c r="D33" s="5" t="e">
        <f ca="1"/>
        <v>#N/A</v>
      </c>
      <c r="E33" s="6" t="e">
        <f ca="1"/>
        <v>#N/A</v>
      </c>
      <c r="G33" s="11">
        <f ca="1"/>
        <v>1369</v>
      </c>
    </row>
    <row r="34" spans="1:7" x14ac:dyDescent="0.2">
      <c r="A34" s="4" t="e">
        <f ca="1"/>
        <v>#N/A</v>
      </c>
      <c r="B34" s="5" t="e">
        <f ca="1"/>
        <v>#N/A</v>
      </c>
      <c r="C34" s="5" t="e">
        <f ca="1"/>
        <v>#N/A</v>
      </c>
      <c r="D34" s="5" t="e">
        <f ca="1"/>
        <v>#N/A</v>
      </c>
      <c r="E34" s="6" t="e">
        <f ca="1"/>
        <v>#N/A</v>
      </c>
      <c r="G34" s="11" t="e">
        <f ca="1"/>
        <v>#N/A</v>
      </c>
    </row>
    <row r="35" spans="1:7" x14ac:dyDescent="0.2">
      <c r="A35" s="4" t="e">
        <f ca="1"/>
        <v>#N/A</v>
      </c>
      <c r="B35" s="5" t="e">
        <f ca="1"/>
        <v>#N/A</v>
      </c>
      <c r="C35" s="5" t="e">
        <f ca="1"/>
        <v>#N/A</v>
      </c>
      <c r="D35" s="5" t="e">
        <f ca="1"/>
        <v>#N/A</v>
      </c>
      <c r="E35" s="6" t="e">
        <f ca="1"/>
        <v>#N/A</v>
      </c>
      <c r="G35" s="11" t="e">
        <f ca="1"/>
        <v>#N/A</v>
      </c>
    </row>
    <row r="36" spans="1:7" x14ac:dyDescent="0.2">
      <c r="A36" s="7" t="e">
        <f ca="1"/>
        <v>#N/A</v>
      </c>
      <c r="B36" s="8" t="e">
        <f ca="1"/>
        <v>#N/A</v>
      </c>
      <c r="C36" s="8" t="e">
        <f ca="1"/>
        <v>#N/A</v>
      </c>
      <c r="D36" s="8" t="e">
        <f ca="1"/>
        <v>#N/A</v>
      </c>
      <c r="E36" s="9" t="e">
        <f ca="1"/>
        <v>#N/A</v>
      </c>
      <c r="G36" s="12" t="e">
        <f ca="1"/>
        <v>#N/A</v>
      </c>
    </row>
    <row r="38" spans="1:7" x14ac:dyDescent="0.2">
      <c r="A38" t="s">
        <v>6</v>
      </c>
      <c r="G38" t="s">
        <v>8</v>
      </c>
    </row>
    <row r="39" spans="1:7" x14ac:dyDescent="0.2">
      <c r="A39" s="1">
        <f t="array" aca="1" ref="A39:E43" ca="1">MINVERSE(OFFSET(A32,0,0,Dashboard!E2+1,Dashboard!E2+1))</f>
        <v>0.52777777777777779</v>
      </c>
      <c r="B39" s="2">
        <f ca="1"/>
        <v>-8.3333333333333329E-2</v>
      </c>
      <c r="C39" s="2" t="e">
        <f ca="1"/>
        <v>#N/A</v>
      </c>
      <c r="D39" s="2" t="e">
        <f ca="1"/>
        <v>#N/A</v>
      </c>
      <c r="E39" s="3" t="e">
        <f ca="1"/>
        <v>#N/A</v>
      </c>
      <c r="G39" s="10">
        <f t="array" aca="1" ref="G39:G43" ca="1">MMULT(OFFSET(A39, 0, 0, Dashboard!E2+1, Dashboard!E2+1), OFFSET(Calculations!G32, 0, 0, Dashboard!E2+1, 1))</f>
        <v>-1.1388888888888857</v>
      </c>
    </row>
    <row r="40" spans="1:7" x14ac:dyDescent="0.2">
      <c r="A40" s="4">
        <f ca="1"/>
        <v>-8.3333333333333329E-2</v>
      </c>
      <c r="B40" s="5">
        <f ca="1"/>
        <v>1.6666666666666666E-2</v>
      </c>
      <c r="C40" s="5" t="e">
        <f ca="1"/>
        <v>#N/A</v>
      </c>
      <c r="D40" s="5" t="e">
        <f ca="1"/>
        <v>#N/A</v>
      </c>
      <c r="E40" s="6" t="e">
        <f ca="1"/>
        <v>#N/A</v>
      </c>
      <c r="G40" s="11">
        <f ca="1"/>
        <v>4.9833333333333343</v>
      </c>
    </row>
    <row r="41" spans="1:7" x14ac:dyDescent="0.2">
      <c r="A41" s="4" t="e">
        <f ca="1"/>
        <v>#N/A</v>
      </c>
      <c r="B41" s="5" t="e">
        <f ca="1"/>
        <v>#N/A</v>
      </c>
      <c r="C41" s="5" t="e">
        <f ca="1"/>
        <v>#N/A</v>
      </c>
      <c r="D41" s="5" t="e">
        <f ca="1"/>
        <v>#N/A</v>
      </c>
      <c r="E41" s="6" t="e">
        <f ca="1"/>
        <v>#N/A</v>
      </c>
      <c r="G41" s="11" t="e">
        <f ca="1"/>
        <v>#N/A</v>
      </c>
    </row>
    <row r="42" spans="1:7" x14ac:dyDescent="0.2">
      <c r="A42" s="4" t="e">
        <f ca="1"/>
        <v>#N/A</v>
      </c>
      <c r="B42" s="5" t="e">
        <f ca="1"/>
        <v>#N/A</v>
      </c>
      <c r="C42" s="5" t="e">
        <f ca="1"/>
        <v>#N/A</v>
      </c>
      <c r="D42" s="5" t="e">
        <f ca="1"/>
        <v>#N/A</v>
      </c>
      <c r="E42" s="6" t="e">
        <f ca="1"/>
        <v>#N/A</v>
      </c>
      <c r="G42" s="11" t="e">
        <f ca="1"/>
        <v>#N/A</v>
      </c>
    </row>
    <row r="43" spans="1:7" x14ac:dyDescent="0.2">
      <c r="A43" s="7" t="e">
        <f ca="1"/>
        <v>#N/A</v>
      </c>
      <c r="B43" s="8" t="e">
        <f ca="1"/>
        <v>#N/A</v>
      </c>
      <c r="C43" s="8" t="e">
        <f ca="1"/>
        <v>#N/A</v>
      </c>
      <c r="D43" s="8" t="e">
        <f ca="1"/>
        <v>#N/A</v>
      </c>
      <c r="E43" s="9" t="e">
        <f ca="1"/>
        <v>#N/A</v>
      </c>
      <c r="G43" s="12" t="e">
        <f ca="1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85B7-030B-4E48-8EBB-1009D186E8D8}">
  <sheetPr codeName="Sheet4"/>
  <dimension ref="A1:B21"/>
  <sheetViews>
    <sheetView workbookViewId="0">
      <selection activeCell="A2" sqref="A2:B21"/>
    </sheetView>
  </sheetViews>
  <sheetFormatPr baseColWidth="10" defaultColWidth="8.83203125" defaultRowHeight="15" x14ac:dyDescent="0.2"/>
  <sheetData>
    <row r="1" spans="1:2" x14ac:dyDescent="0.2">
      <c r="A1" t="s">
        <v>0</v>
      </c>
      <c r="B1" t="s">
        <v>1</v>
      </c>
    </row>
    <row r="2" spans="1:2" x14ac:dyDescent="0.2">
      <c r="A2" s="1">
        <v>1</v>
      </c>
      <c r="B2" s="3">
        <v>5</v>
      </c>
    </row>
    <row r="3" spans="1:2" x14ac:dyDescent="0.2">
      <c r="A3" s="4">
        <v>2</v>
      </c>
      <c r="B3" s="6">
        <v>6</v>
      </c>
    </row>
    <row r="4" spans="1:2" x14ac:dyDescent="0.2">
      <c r="A4" s="4">
        <v>3</v>
      </c>
      <c r="B4" s="6">
        <v>10</v>
      </c>
    </row>
    <row r="5" spans="1:2" x14ac:dyDescent="0.2">
      <c r="A5" s="4">
        <v>4</v>
      </c>
      <c r="B5" s="6">
        <v>20</v>
      </c>
    </row>
    <row r="6" spans="1:2" x14ac:dyDescent="0.2">
      <c r="A6" s="4">
        <v>5</v>
      </c>
      <c r="B6" s="6">
        <v>28</v>
      </c>
    </row>
    <row r="7" spans="1:2" x14ac:dyDescent="0.2">
      <c r="A7" s="4">
        <v>6</v>
      </c>
      <c r="B7" s="6">
        <v>33</v>
      </c>
    </row>
    <row r="8" spans="1:2" x14ac:dyDescent="0.2">
      <c r="A8" s="4">
        <v>7</v>
      </c>
      <c r="B8" s="6">
        <v>34</v>
      </c>
    </row>
    <row r="9" spans="1:2" x14ac:dyDescent="0.2">
      <c r="A9" s="4">
        <v>8</v>
      </c>
      <c r="B9" s="6">
        <v>36</v>
      </c>
    </row>
    <row r="10" spans="1:2" x14ac:dyDescent="0.2">
      <c r="A10" s="4">
        <v>9</v>
      </c>
      <c r="B10" s="6">
        <v>42</v>
      </c>
    </row>
    <row r="11" spans="1:2" x14ac:dyDescent="0.2">
      <c r="A11" s="4"/>
      <c r="B11" s="6"/>
    </row>
    <row r="12" spans="1:2" x14ac:dyDescent="0.2">
      <c r="A12" s="4"/>
      <c r="B12" s="6"/>
    </row>
    <row r="13" spans="1:2" x14ac:dyDescent="0.2">
      <c r="A13" s="4"/>
      <c r="B13" s="6"/>
    </row>
    <row r="14" spans="1:2" x14ac:dyDescent="0.2">
      <c r="A14" s="4"/>
      <c r="B14" s="6"/>
    </row>
    <row r="15" spans="1:2" x14ac:dyDescent="0.2">
      <c r="A15" s="4"/>
      <c r="B15" s="6"/>
    </row>
    <row r="16" spans="1:2" x14ac:dyDescent="0.2">
      <c r="A16" s="4"/>
      <c r="B16" s="6"/>
    </row>
    <row r="17" spans="1:2" x14ac:dyDescent="0.2">
      <c r="A17" s="4"/>
      <c r="B17" s="6"/>
    </row>
    <row r="18" spans="1:2" x14ac:dyDescent="0.2">
      <c r="A18" s="4"/>
      <c r="B18" s="6"/>
    </row>
    <row r="19" spans="1:2" x14ac:dyDescent="0.2">
      <c r="A19" s="4"/>
      <c r="B19" s="6"/>
    </row>
    <row r="20" spans="1:2" x14ac:dyDescent="0.2">
      <c r="A20" s="4"/>
      <c r="B20" s="6"/>
    </row>
    <row r="21" spans="1:2" x14ac:dyDescent="0.2">
      <c r="A21" s="7"/>
      <c r="B2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Dashboard</vt:lpstr>
      <vt:lpstr>Calculations</vt:lpstr>
      <vt:lpstr>Original Data</vt:lpstr>
      <vt:lpstr>Beta</vt:lpstr>
      <vt:lpstr>SSE</vt:lpstr>
      <vt:lpstr>SST</vt:lpstr>
      <vt:lpstr>X</vt:lpstr>
      <vt:lpstr>xdata</vt:lpstr>
      <vt:lpstr>Xt</vt:lpstr>
      <vt:lpstr>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Microsoft Office User</cp:lastModifiedBy>
  <dcterms:created xsi:type="dcterms:W3CDTF">2021-01-15T21:37:37Z</dcterms:created>
  <dcterms:modified xsi:type="dcterms:W3CDTF">2021-05-25T20:22:41Z</dcterms:modified>
</cp:coreProperties>
</file>